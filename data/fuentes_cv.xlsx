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ajcestudioses-my.sharepoint.com/personal/info_ajcestudios_es/Documents/057_Autovia Olivar/4. Documentacion presentada/HTML/CANTERAS/"/>
    </mc:Choice>
  </mc:AlternateContent>
  <xr:revisionPtr revIDLastSave="365" documentId="8_{D6908D60-4C24-4A1F-BC21-C7E31F4DE55D}" xr6:coauthVersionLast="47" xr6:coauthVersionMax="47" xr10:uidLastSave="{4CA14084-3928-4819-82E9-91E2BEBA9954}"/>
  <bookViews>
    <workbookView xWindow="-120" yWindow="-120" windowWidth="29040" windowHeight="15720" xr2:uid="{C750FF54-24AE-4B02-979E-48BE962E1C44}"/>
  </bookViews>
  <sheets>
    <sheet name="CANTERAS " sheetId="5" r:id="rId1"/>
    <sheet name="PLANTAS DE FABRICACIÓN" sheetId="1" r:id="rId2"/>
    <sheet name="VERTEDEROS" sheetId="4" r:id="rId3"/>
    <sheet name="PRESTAMOS" sheetId="6" r:id="rId4"/>
    <sheet name="Hoja2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D30" i="1"/>
  <c r="D31" i="1" s="1"/>
  <c r="D32" i="1" s="1"/>
  <c r="H5" i="4"/>
  <c r="H6" i="4"/>
  <c r="H7" i="4"/>
  <c r="H8" i="4"/>
  <c r="H9" i="4"/>
  <c r="H10" i="4"/>
  <c r="H4" i="4"/>
</calcChain>
</file>

<file path=xl/sharedStrings.xml><?xml version="1.0" encoding="utf-8"?>
<sst xmlns="http://schemas.openxmlformats.org/spreadsheetml/2006/main" count="296" uniqueCount="188">
  <si>
    <t>HORMIGONES</t>
  </si>
  <si>
    <t>MEZCLAS BITUMINOSAS EN CALIENTE</t>
  </si>
  <si>
    <t>PLANTA DE RCD</t>
  </si>
  <si>
    <t>CANTERAS</t>
  </si>
  <si>
    <t>GRAVERAS</t>
  </si>
  <si>
    <t>CC1 CANTERA "SANTO NICASIO"</t>
  </si>
  <si>
    <t>CC2 Áridos "DEHESA DEL ÁLAMO, S.L.</t>
  </si>
  <si>
    <t>CC3 Cantera "SAN ISIDRO"</t>
  </si>
  <si>
    <t>CC4 Cantera "CERRO RICO"</t>
  </si>
  <si>
    <t>CC5 Cantera "EL FRAILE"</t>
  </si>
  <si>
    <t>CC6 Cantera "FUENSANTA DE MARTOS"</t>
  </si>
  <si>
    <t>CG1 Cantera "LA BUENA"</t>
  </si>
  <si>
    <t>CG2 Cantera "AÑORETA"</t>
  </si>
  <si>
    <t>CANTERA OFITAS</t>
  </si>
  <si>
    <t>CCO1 - Ofitas Carchelejo</t>
  </si>
  <si>
    <t>PH-3 Hormigones "CAÑADA DE LA FUENTE"</t>
  </si>
  <si>
    <t>PH-1 HORMIGONES LAFARGE" (Planta de Martos)</t>
  </si>
  <si>
    <t>PH-4 HORMIGONES AHILLOS, S.L.</t>
  </si>
  <si>
    <t>PH-2 HORMIGONES LOS CIRIACOS</t>
  </si>
  <si>
    <t>PH-7 HORMIGONES BAENA</t>
  </si>
  <si>
    <t>PMB5 Planta Asfalto Cabra EIFFAGE</t>
  </si>
  <si>
    <t>PMB6 Planta Asfalto Iznalloz C. PÉREZ JIMÉNEZ</t>
  </si>
  <si>
    <t>PMB3 Planta Asfalto Tuccsa</t>
  </si>
  <si>
    <t xml:space="preserve"> 37°44'4.04"N /   3°56'52.02"O</t>
  </si>
  <si>
    <t xml:space="preserve"> 37°46'47.48"N /   3°53'16.79"O</t>
  </si>
  <si>
    <t xml:space="preserve"> 37°42'5.61"N /   3°57'59.43"O</t>
  </si>
  <si>
    <t xml:space="preserve"> 37°34'43.89"N /   4° 4'58.61"O</t>
  </si>
  <si>
    <t xml:space="preserve"> 37°37'29.79"N /   4°18'37.02"O</t>
  </si>
  <si>
    <t xml:space="preserve"> 37°28'54.86"N /   4°28'48.90"O</t>
  </si>
  <si>
    <t xml:space="preserve"> 37°25'26.94"N /   3°36'23.96"O</t>
  </si>
  <si>
    <t>Latitud</t>
  </si>
  <si>
    <t>Longitud</t>
  </si>
  <si>
    <t>37°39'59.83"N    3°59'41.68"O</t>
  </si>
  <si>
    <t>37°39'30.45"N    3°59'49.91"O</t>
  </si>
  <si>
    <t>37°39'05.44"N    4°00'49.77"O</t>
  </si>
  <si>
    <t>37°38'39.78"N    4°00'28.33"O</t>
  </si>
  <si>
    <t>37°38'17.49"N    3°59'57.87"O</t>
  </si>
  <si>
    <t>37°38'12.17"N    4°00'26.96"O</t>
  </si>
  <si>
    <t>37°37'14.13"N    3°59'38.68"O</t>
  </si>
  <si>
    <t>37°36'01.64"N    3°57'35.76"O</t>
  </si>
  <si>
    <t>37°35'20.63"N    3°56'52.22"O</t>
  </si>
  <si>
    <t>37°35'11.11"N    3°56'39.72"O</t>
  </si>
  <si>
    <t>37°34'57.55"N    3°56'43.64"O</t>
  </si>
  <si>
    <t>37°34'30.96"N    3°56'52.33"O</t>
  </si>
  <si>
    <t>37°34'12.16"N    3°56'49.44"O</t>
  </si>
  <si>
    <t>37°34'20.30"N    3°57'28.15"O</t>
  </si>
  <si>
    <t>37°34'02.44"N    3°57'21.87"O</t>
  </si>
  <si>
    <t>37°31'07.11"N    3°55'26.47"O</t>
  </si>
  <si>
    <t>37°31'01.33"N    3°55'15.96"O</t>
  </si>
  <si>
    <t>37°26'59.74"N    3°57'57.28"O</t>
  </si>
  <si>
    <t>1    89</t>
  </si>
  <si>
    <t>2    089 (2)</t>
  </si>
  <si>
    <t>3    74</t>
  </si>
  <si>
    <t>4    074 (2)</t>
  </si>
  <si>
    <t>5    074 (3)</t>
  </si>
  <si>
    <t>6    074 (4)</t>
  </si>
  <si>
    <t>7    074 (5)</t>
  </si>
  <si>
    <t>8    90</t>
  </si>
  <si>
    <t>9    43</t>
  </si>
  <si>
    <t>10    043 (2)</t>
  </si>
  <si>
    <t>11    043 (3)</t>
  </si>
  <si>
    <t>12    (sin nombre)</t>
  </si>
  <si>
    <t>13    (sin nombre) (2)</t>
  </si>
  <si>
    <t>14    (sin nombre) (3)</t>
  </si>
  <si>
    <t>15    (sin nombre) (4)</t>
  </si>
  <si>
    <t>16    75</t>
  </si>
  <si>
    <t>17    88</t>
  </si>
  <si>
    <t>18    089 (3)</t>
  </si>
  <si>
    <t>PRÉSTAMOS ALTERNATIVOS</t>
  </si>
  <si>
    <t>37°44'38.63"N</t>
  </si>
  <si>
    <t>37°48'25.14"N</t>
  </si>
  <si>
    <t>3°48'52.54"O</t>
  </si>
  <si>
    <t>V2</t>
  </si>
  <si>
    <t>37°46'48.18"N</t>
  </si>
  <si>
    <t>3°50'05.69"O</t>
  </si>
  <si>
    <t>RS1 - RSU PLANTA DE TRATAMIENTO JAEN SUR</t>
  </si>
  <si>
    <t>37°50'12.16"N</t>
  </si>
  <si>
    <t>3°49'54.73"O</t>
  </si>
  <si>
    <t>37°44'06.76"N</t>
  </si>
  <si>
    <t>3°55'13.72"O</t>
  </si>
  <si>
    <t>Elemento</t>
  </si>
  <si>
    <t>Tipo</t>
  </si>
  <si>
    <t>Punto</t>
  </si>
  <si>
    <t>V1 (1)</t>
  </si>
  <si>
    <t>Polígono (centroide)</t>
  </si>
  <si>
    <t>37°44'07.79"N</t>
  </si>
  <si>
    <t>3°55'11.58"O</t>
  </si>
  <si>
    <t>CC-V1</t>
  </si>
  <si>
    <t>3°51'36.22"O</t>
  </si>
  <si>
    <t>V1 (2)</t>
  </si>
  <si>
    <t>V1 (3)</t>
  </si>
  <si>
    <t>V1 (4)</t>
  </si>
  <si>
    <t>37°50'15.1"N     3°49'49.9"W</t>
  </si>
  <si>
    <t>PLANTA DE RSU</t>
  </si>
  <si>
    <t>RCD-1 RESURJA</t>
  </si>
  <si>
    <t>VERTEDEROS</t>
  </si>
  <si>
    <t>CC1</t>
  </si>
  <si>
    <t>CC2</t>
  </si>
  <si>
    <t>CC3</t>
  </si>
  <si>
    <t>CC4</t>
  </si>
  <si>
    <t>CC5</t>
  </si>
  <si>
    <t>CC6</t>
  </si>
  <si>
    <t>CG1</t>
  </si>
  <si>
    <t>CG2</t>
  </si>
  <si>
    <t>CCO1</t>
  </si>
  <si>
    <t xml:space="preserve">LOCALIZACION </t>
  </si>
  <si>
    <t>LATITUD</t>
  </si>
  <si>
    <t>LONGITUD</t>
  </si>
  <si>
    <t>CUENCA, ESPAÑA</t>
  </si>
  <si>
    <t>37.7227</t>
  </si>
  <si>
    <t>-3.9658</t>
  </si>
  <si>
    <t>37.734456</t>
  </si>
  <si>
    <t xml:space="preserve"> -3.947783</t>
  </si>
  <si>
    <t>37.747650</t>
  </si>
  <si>
    <t xml:space="preserve"> -3.893556</t>
  </si>
  <si>
    <t>37.602325</t>
  </si>
  <si>
    <t xml:space="preserve"> -4.091564</t>
  </si>
  <si>
    <t>37.663961</t>
  </si>
  <si>
    <t xml:space="preserve"> -3.916397</t>
  </si>
  <si>
    <t>37.648628</t>
  </si>
  <si>
    <t xml:space="preserve"> -3.936267</t>
  </si>
  <si>
    <t>37.812422</t>
  </si>
  <si>
    <t xml:space="preserve"> -3.832503</t>
  </si>
  <si>
    <t>38.074858</t>
  </si>
  <si>
    <t xml:space="preserve"> -3.860792</t>
  </si>
  <si>
    <t>37.631664</t>
  </si>
  <si>
    <t xml:space="preserve"> -3.608097</t>
  </si>
  <si>
    <t>37.779856</t>
  </si>
  <si>
    <t xml:space="preserve"> -3.887997</t>
  </si>
  <si>
    <t>37.701558</t>
  </si>
  <si>
    <t xml:space="preserve"> -3.999842</t>
  </si>
  <si>
    <t>37.578858</t>
  </si>
  <si>
    <t xml:space="preserve"> -4.082947</t>
  </si>
  <si>
    <t>37.624942</t>
  </si>
  <si>
    <t xml:space="preserve"> -4.310283</t>
  </si>
  <si>
    <t>37.481906</t>
  </si>
  <si>
    <t xml:space="preserve"> -4.480250</t>
  </si>
  <si>
    <t>37.424150</t>
  </si>
  <si>
    <t xml:space="preserve"> -3.606656</t>
  </si>
  <si>
    <t>37.836711</t>
  </si>
  <si>
    <t xml:space="preserve"> -3.831869</t>
  </si>
  <si>
    <t>37.735497</t>
  </si>
  <si>
    <t xml:space="preserve"> -3.919883</t>
  </si>
  <si>
    <t>37.744064</t>
  </si>
  <si>
    <t xml:space="preserve"> -3.860061</t>
  </si>
  <si>
    <t>37.806983</t>
  </si>
  <si>
    <t xml:space="preserve"> -3.814594</t>
  </si>
  <si>
    <t>37.780050</t>
  </si>
  <si>
    <t xml:space="preserve"> -3.834914</t>
  </si>
  <si>
    <t>37.735211</t>
  </si>
  <si>
    <t xml:space="preserve"> -3.920478</t>
  </si>
  <si>
    <t>37.666619</t>
  </si>
  <si>
    <t xml:space="preserve"> -3.994911</t>
  </si>
  <si>
    <t>37.658458</t>
  </si>
  <si>
    <t xml:space="preserve"> -3.997197</t>
  </si>
  <si>
    <t>37.651511</t>
  </si>
  <si>
    <t xml:space="preserve"> -4.013825</t>
  </si>
  <si>
    <t>37.644383</t>
  </si>
  <si>
    <t xml:space="preserve"> -4.007869</t>
  </si>
  <si>
    <t>37.638192</t>
  </si>
  <si>
    <t xml:space="preserve"> -3.999408</t>
  </si>
  <si>
    <t>37.636714</t>
  </si>
  <si>
    <t xml:space="preserve"> -4.007489</t>
  </si>
  <si>
    <t>37.620592</t>
  </si>
  <si>
    <t xml:space="preserve"> -3.994078</t>
  </si>
  <si>
    <t>37.600456</t>
  </si>
  <si>
    <t xml:space="preserve"> -3.959933</t>
  </si>
  <si>
    <t>37.589064</t>
  </si>
  <si>
    <t xml:space="preserve"> -3.947839</t>
  </si>
  <si>
    <t>37.586419</t>
  </si>
  <si>
    <t xml:space="preserve"> -3.944367</t>
  </si>
  <si>
    <t>37.582653</t>
  </si>
  <si>
    <t xml:space="preserve"> -3.945456</t>
  </si>
  <si>
    <t>37.575267</t>
  </si>
  <si>
    <t xml:space="preserve"> -3.947869</t>
  </si>
  <si>
    <t>37.570044</t>
  </si>
  <si>
    <t xml:space="preserve"> -3.947067</t>
  </si>
  <si>
    <t>37.572306</t>
  </si>
  <si>
    <t xml:space="preserve"> -3.957819</t>
  </si>
  <si>
    <t>37.567344</t>
  </si>
  <si>
    <t xml:space="preserve"> -3.956075</t>
  </si>
  <si>
    <t>37.518642</t>
  </si>
  <si>
    <t xml:space="preserve"> -3.924019</t>
  </si>
  <si>
    <t>37.517036</t>
  </si>
  <si>
    <t xml:space="preserve"> -3.921100</t>
  </si>
  <si>
    <t>37.449928</t>
  </si>
  <si>
    <t xml:space="preserve"> -3.965911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</si>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</sst>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sz val="8"/>
      <color theme="1"/>
      <name val="Calibri"/>
      <family val="2"/>
    </font>
    <font>
      <u/>
      <sz val="10"/>
      <color indexed="12"/>
      <name val="Arial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Calibri Light"/>
      <family val="2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2"/>
      <color theme="1"/>
      <name val="Calibr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3" fillId="0" borderId="0"/>
    <xf numFmtId="0" fontId="4" fillId="0" borderId="0" applyNumberFormat="0" applyFill="0" applyBorder="0" applyAlignment="0" applyProtection="0">
      <alignment vertical="top"/>
      <protection locked="0"/>
    </xf>
    <xf numFmtId="43" fontId="7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vertical="center" wrapText="1"/>
    </xf>
    <xf numFmtId="0" fontId="8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9" fillId="0" borderId="1" xfId="6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wrapText="1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wrapText="1"/>
    </xf>
  </cellXfs>
  <cellStyles count="7">
    <cellStyle name="Excel Built-in Normal 2" xfId="2" xr:uid="{FC4D8E9D-02B0-42A0-827F-AF8B19713634}"/>
    <cellStyle name="Hipervínculo 2" xfId="5" xr:uid="{C15B1C6E-4E04-4FAA-94B6-EB252DA6463F}"/>
    <cellStyle name="Hyperlink" xfId="1" xr:uid="{DCBA6862-E0BA-416D-81A9-AD9930416C4A}"/>
    <cellStyle name="Millares" xfId="6" builtinId="3"/>
    <cellStyle name="Normal" xfId="0" builtinId="0"/>
    <cellStyle name="Normal 2" xfId="3" xr:uid="{BCC17086-F138-49A4-8935-2AB02A05EB38}"/>
    <cellStyle name="Normal 3" xfId="4" xr:uid="{6A55CD49-EB08-47C3-B8D0-4BD1AC4D93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F43E5-6649-4792-9796-808275AA6004}">
  <dimension ref="A1:F41"/>
  <sheetViews>
    <sheetView tabSelected="1" topLeftCell="A16" zoomScale="115" zoomScaleNormal="115" workbookViewId="0">
      <selection activeCell="C10" sqref="C10:C41"/>
    </sheetView>
  </sheetViews>
  <sheetFormatPr baseColWidth="10" defaultRowHeight="15" x14ac:dyDescent="0.25"/>
  <cols>
    <col min="1" max="1" width="29.5703125" style="33" customWidth="1"/>
    <col min="2" max="2" width="44" style="25" bestFit="1" customWidth="1"/>
    <col min="3" max="3" width="9.85546875" style="25" customWidth="1"/>
    <col min="4" max="4" width="10.7109375" style="27" bestFit="1" customWidth="1"/>
    <col min="5" max="5" width="14.85546875" style="27" customWidth="1"/>
    <col min="6" max="16384" width="11.42578125" style="23"/>
  </cols>
  <sheetData>
    <row r="1" spans="1:5" ht="15.75" x14ac:dyDescent="0.25">
      <c r="A1" s="29" t="s">
        <v>3</v>
      </c>
      <c r="B1" s="22" t="s">
        <v>5</v>
      </c>
      <c r="C1" s="22" t="s">
        <v>96</v>
      </c>
      <c r="D1" s="26" t="s">
        <v>111</v>
      </c>
      <c r="E1" s="26" t="s">
        <v>112</v>
      </c>
    </row>
    <row r="2" spans="1:5" ht="15.75" x14ac:dyDescent="0.25">
      <c r="A2" s="29" t="s">
        <v>3</v>
      </c>
      <c r="B2" s="22" t="s">
        <v>6</v>
      </c>
      <c r="C2" s="22" t="s">
        <v>97</v>
      </c>
      <c r="D2" s="26" t="s">
        <v>113</v>
      </c>
      <c r="E2" s="26" t="s">
        <v>114</v>
      </c>
    </row>
    <row r="3" spans="1:5" ht="15.75" x14ac:dyDescent="0.25">
      <c r="A3" s="29" t="s">
        <v>3</v>
      </c>
      <c r="B3" s="22" t="s">
        <v>7</v>
      </c>
      <c r="C3" s="22" t="s">
        <v>98</v>
      </c>
      <c r="D3" s="26" t="s">
        <v>115</v>
      </c>
      <c r="E3" s="26" t="s">
        <v>116</v>
      </c>
    </row>
    <row r="4" spans="1:5" ht="15.75" x14ac:dyDescent="0.25">
      <c r="A4" s="29" t="s">
        <v>3</v>
      </c>
      <c r="B4" s="24" t="s">
        <v>8</v>
      </c>
      <c r="C4" s="22" t="s">
        <v>99</v>
      </c>
      <c r="D4" s="26" t="s">
        <v>117</v>
      </c>
      <c r="E4" s="26" t="s">
        <v>118</v>
      </c>
    </row>
    <row r="5" spans="1:5" ht="15.75" x14ac:dyDescent="0.25">
      <c r="A5" s="29" t="s">
        <v>3</v>
      </c>
      <c r="B5" s="22" t="s">
        <v>9</v>
      </c>
      <c r="C5" s="22" t="s">
        <v>100</v>
      </c>
      <c r="D5" s="26" t="s">
        <v>119</v>
      </c>
      <c r="E5" s="26" t="s">
        <v>120</v>
      </c>
    </row>
    <row r="6" spans="1:5" ht="16.5" customHeight="1" x14ac:dyDescent="0.25">
      <c r="A6" s="29" t="s">
        <v>3</v>
      </c>
      <c r="B6" s="24" t="s">
        <v>10</v>
      </c>
      <c r="C6" s="24" t="s">
        <v>101</v>
      </c>
      <c r="D6" s="26" t="s">
        <v>121</v>
      </c>
      <c r="E6" s="26" t="s">
        <v>122</v>
      </c>
    </row>
    <row r="7" spans="1:5" ht="15.75" x14ac:dyDescent="0.25">
      <c r="A7" s="29" t="s">
        <v>4</v>
      </c>
      <c r="B7" s="22" t="s">
        <v>11</v>
      </c>
      <c r="C7" s="22" t="s">
        <v>102</v>
      </c>
      <c r="D7" s="26" t="s">
        <v>123</v>
      </c>
      <c r="E7" s="26" t="s">
        <v>124</v>
      </c>
    </row>
    <row r="8" spans="1:5" ht="15.75" x14ac:dyDescent="0.25">
      <c r="A8" s="29" t="s">
        <v>4</v>
      </c>
      <c r="B8" s="22" t="s">
        <v>12</v>
      </c>
      <c r="C8" s="22" t="s">
        <v>103</v>
      </c>
      <c r="D8" s="26" t="s">
        <v>125</v>
      </c>
      <c r="E8" s="26" t="s">
        <v>126</v>
      </c>
    </row>
    <row r="9" spans="1:5" ht="15.75" x14ac:dyDescent="0.25">
      <c r="A9" s="30" t="s">
        <v>13</v>
      </c>
      <c r="B9" s="22" t="s">
        <v>14</v>
      </c>
      <c r="C9" s="22" t="s">
        <v>104</v>
      </c>
      <c r="D9" s="26" t="s">
        <v>111</v>
      </c>
      <c r="E9" s="26" t="s">
        <v>112</v>
      </c>
    </row>
    <row r="10" spans="1:5" ht="15.75" x14ac:dyDescent="0.25">
      <c r="A10" s="29" t="s">
        <v>0</v>
      </c>
      <c r="B10" s="22" t="s">
        <v>16</v>
      </c>
      <c r="C10" s="22" t="s">
        <v>187</v>
      </c>
      <c r="D10" s="26" t="s">
        <v>127</v>
      </c>
      <c r="E10" s="26" t="s">
        <v>128</v>
      </c>
    </row>
    <row r="11" spans="1:5" ht="15.75" x14ac:dyDescent="0.25">
      <c r="A11" s="29" t="s">
        <v>0</v>
      </c>
      <c r="B11" s="22" t="s">
        <v>18</v>
      </c>
      <c r="C11" s="22" t="s">
        <v>187</v>
      </c>
      <c r="D11" s="26" t="s">
        <v>129</v>
      </c>
      <c r="E11" s="26" t="s">
        <v>130</v>
      </c>
    </row>
    <row r="12" spans="1:5" ht="15.75" x14ac:dyDescent="0.25">
      <c r="A12" s="29" t="s">
        <v>0</v>
      </c>
      <c r="B12" s="22" t="s">
        <v>15</v>
      </c>
      <c r="C12" s="22" t="s">
        <v>187</v>
      </c>
      <c r="D12" s="26" t="s">
        <v>131</v>
      </c>
      <c r="E12" s="26" t="s">
        <v>132</v>
      </c>
    </row>
    <row r="13" spans="1:5" ht="15.75" x14ac:dyDescent="0.25">
      <c r="A13" s="29" t="s">
        <v>0</v>
      </c>
      <c r="B13" s="22" t="s">
        <v>17</v>
      </c>
      <c r="C13" s="22" t="s">
        <v>187</v>
      </c>
      <c r="D13" s="26" t="s">
        <v>133</v>
      </c>
      <c r="E13" s="26" t="s">
        <v>134</v>
      </c>
    </row>
    <row r="14" spans="1:5" ht="15.75" x14ac:dyDescent="0.25">
      <c r="A14" s="29" t="s">
        <v>0</v>
      </c>
      <c r="B14" s="22" t="s">
        <v>19</v>
      </c>
      <c r="C14" s="22" t="s">
        <v>187</v>
      </c>
      <c r="D14" s="26" t="s">
        <v>135</v>
      </c>
      <c r="E14" s="26" t="s">
        <v>136</v>
      </c>
    </row>
    <row r="15" spans="1:5" ht="15.75" customHeight="1" x14ac:dyDescent="0.25">
      <c r="A15" s="29" t="s">
        <v>1</v>
      </c>
      <c r="B15" s="22" t="s">
        <v>20</v>
      </c>
      <c r="C15" s="22" t="s">
        <v>187</v>
      </c>
      <c r="D15" s="26" t="s">
        <v>137</v>
      </c>
      <c r="E15" s="26" t="s">
        <v>138</v>
      </c>
    </row>
    <row r="16" spans="1:5" ht="30" x14ac:dyDescent="0.25">
      <c r="A16" s="29" t="s">
        <v>1</v>
      </c>
      <c r="B16" s="22" t="s">
        <v>21</v>
      </c>
      <c r="C16" s="22" t="s">
        <v>187</v>
      </c>
      <c r="D16" s="26" t="s">
        <v>111</v>
      </c>
      <c r="E16" s="26" t="s">
        <v>112</v>
      </c>
    </row>
    <row r="17" spans="1:6" ht="30" x14ac:dyDescent="0.25">
      <c r="A17" s="29" t="s">
        <v>1</v>
      </c>
      <c r="B17" s="22" t="s">
        <v>22</v>
      </c>
      <c r="C17" s="22" t="s">
        <v>187</v>
      </c>
      <c r="D17" s="26" t="s">
        <v>139</v>
      </c>
      <c r="E17" s="26" t="s">
        <v>140</v>
      </c>
    </row>
    <row r="18" spans="1:6" ht="15.75" x14ac:dyDescent="0.25">
      <c r="A18" s="31" t="s">
        <v>93</v>
      </c>
      <c r="B18" s="22" t="s">
        <v>75</v>
      </c>
      <c r="C18" s="22" t="s">
        <v>187</v>
      </c>
      <c r="D18" s="26" t="s">
        <v>141</v>
      </c>
      <c r="E18" s="26" t="s">
        <v>142</v>
      </c>
    </row>
    <row r="19" spans="1:6" ht="15.75" x14ac:dyDescent="0.25">
      <c r="A19" s="32" t="s">
        <v>95</v>
      </c>
      <c r="B19" s="24" t="s">
        <v>83</v>
      </c>
      <c r="C19" s="22" t="s">
        <v>187</v>
      </c>
      <c r="D19" s="26" t="s">
        <v>143</v>
      </c>
      <c r="E19" s="26" t="s">
        <v>144</v>
      </c>
    </row>
    <row r="20" spans="1:6" ht="15.75" x14ac:dyDescent="0.25">
      <c r="A20" s="32" t="s">
        <v>95</v>
      </c>
      <c r="B20" s="24" t="s">
        <v>87</v>
      </c>
      <c r="C20" s="22" t="s">
        <v>187</v>
      </c>
      <c r="D20" s="26" t="s">
        <v>145</v>
      </c>
      <c r="E20" s="26" t="s">
        <v>146</v>
      </c>
    </row>
    <row r="21" spans="1:6" ht="15.75" x14ac:dyDescent="0.25">
      <c r="A21" s="32" t="s">
        <v>95</v>
      </c>
      <c r="B21" s="24" t="s">
        <v>89</v>
      </c>
      <c r="C21" s="22" t="s">
        <v>187</v>
      </c>
      <c r="D21" s="26" t="s">
        <v>147</v>
      </c>
      <c r="E21" s="26" t="s">
        <v>148</v>
      </c>
    </row>
    <row r="22" spans="1:6" ht="15.75" x14ac:dyDescent="0.25">
      <c r="A22" s="32" t="s">
        <v>95</v>
      </c>
      <c r="B22" s="24" t="s">
        <v>72</v>
      </c>
      <c r="C22" s="22" t="s">
        <v>187</v>
      </c>
      <c r="D22" s="26" t="s">
        <v>149</v>
      </c>
      <c r="E22" s="26" t="s">
        <v>150</v>
      </c>
    </row>
    <row r="23" spans="1:6" ht="15.75" x14ac:dyDescent="0.25">
      <c r="A23" s="32" t="s">
        <v>95</v>
      </c>
      <c r="B23" s="24" t="s">
        <v>90</v>
      </c>
      <c r="C23" s="22" t="s">
        <v>187</v>
      </c>
      <c r="D23" s="26" t="s">
        <v>141</v>
      </c>
      <c r="E23" s="26" t="s">
        <v>142</v>
      </c>
    </row>
    <row r="24" spans="1:6" ht="15.75" x14ac:dyDescent="0.25">
      <c r="A24" s="32" t="s">
        <v>95</v>
      </c>
      <c r="B24" s="24" t="s">
        <v>91</v>
      </c>
      <c r="C24" s="22" t="s">
        <v>187</v>
      </c>
      <c r="D24" s="26" t="s">
        <v>151</v>
      </c>
      <c r="E24" s="26" t="s">
        <v>152</v>
      </c>
    </row>
    <row r="25" spans="1:6" ht="15.75" x14ac:dyDescent="0.25">
      <c r="A25" s="28" t="s">
        <v>68</v>
      </c>
      <c r="B25" s="22" t="s">
        <v>50</v>
      </c>
      <c r="C25" s="22" t="s">
        <v>187</v>
      </c>
      <c r="D25" s="26" t="s">
        <v>153</v>
      </c>
      <c r="E25" s="26" t="s">
        <v>154</v>
      </c>
    </row>
    <row r="26" spans="1:6" ht="15.75" x14ac:dyDescent="0.25">
      <c r="A26" s="28" t="s">
        <v>68</v>
      </c>
      <c r="B26" s="22" t="s">
        <v>51</v>
      </c>
      <c r="C26" s="22" t="s">
        <v>187</v>
      </c>
      <c r="D26" s="26" t="s">
        <v>155</v>
      </c>
      <c r="E26" s="26" t="s">
        <v>156</v>
      </c>
      <c r="F26" s="25"/>
    </row>
    <row r="27" spans="1:6" ht="15.75" x14ac:dyDescent="0.25">
      <c r="A27" s="28" t="s">
        <v>68</v>
      </c>
      <c r="B27" s="22" t="s">
        <v>52</v>
      </c>
      <c r="C27" s="22" t="s">
        <v>187</v>
      </c>
      <c r="D27" s="26" t="s">
        <v>157</v>
      </c>
      <c r="E27" s="26" t="s">
        <v>158</v>
      </c>
      <c r="F27" s="25"/>
    </row>
    <row r="28" spans="1:6" ht="15.75" x14ac:dyDescent="0.25">
      <c r="A28" s="28" t="s">
        <v>68</v>
      </c>
      <c r="B28" s="22" t="s">
        <v>53</v>
      </c>
      <c r="C28" s="22" t="s">
        <v>187</v>
      </c>
      <c r="D28" s="26" t="s">
        <v>159</v>
      </c>
      <c r="E28" s="26" t="s">
        <v>160</v>
      </c>
      <c r="F28" s="25"/>
    </row>
    <row r="29" spans="1:6" ht="15.75" x14ac:dyDescent="0.25">
      <c r="A29" s="28" t="s">
        <v>68</v>
      </c>
      <c r="B29" s="22" t="s">
        <v>54</v>
      </c>
      <c r="C29" s="22" t="s">
        <v>187</v>
      </c>
      <c r="D29" s="26" t="s">
        <v>161</v>
      </c>
      <c r="E29" s="26" t="s">
        <v>162</v>
      </c>
      <c r="F29" s="25"/>
    </row>
    <row r="30" spans="1:6" ht="15.75" x14ac:dyDescent="0.25">
      <c r="A30" s="28" t="s">
        <v>68</v>
      </c>
      <c r="B30" s="22" t="s">
        <v>55</v>
      </c>
      <c r="C30" s="22" t="s">
        <v>187</v>
      </c>
      <c r="D30" s="26" t="s">
        <v>163</v>
      </c>
      <c r="E30" s="26" t="s">
        <v>164</v>
      </c>
      <c r="F30" s="25"/>
    </row>
    <row r="31" spans="1:6" ht="15.75" x14ac:dyDescent="0.25">
      <c r="A31" s="28" t="s">
        <v>68</v>
      </c>
      <c r="B31" s="22" t="s">
        <v>56</v>
      </c>
      <c r="C31" s="22" t="s">
        <v>187</v>
      </c>
      <c r="D31" s="26" t="s">
        <v>165</v>
      </c>
      <c r="E31" s="26" t="s">
        <v>166</v>
      </c>
      <c r="F31" s="25"/>
    </row>
    <row r="32" spans="1:6" ht="15.75" x14ac:dyDescent="0.25">
      <c r="A32" s="28" t="s">
        <v>68</v>
      </c>
      <c r="B32" s="22" t="s">
        <v>57</v>
      </c>
      <c r="C32" s="22" t="s">
        <v>187</v>
      </c>
      <c r="D32" s="26" t="s">
        <v>167</v>
      </c>
      <c r="E32" s="26" t="s">
        <v>168</v>
      </c>
      <c r="F32" s="25"/>
    </row>
    <row r="33" spans="1:6" ht="15.75" x14ac:dyDescent="0.25">
      <c r="A33" s="28" t="s">
        <v>68</v>
      </c>
      <c r="B33" s="22" t="s">
        <v>58</v>
      </c>
      <c r="C33" s="22" t="s">
        <v>187</v>
      </c>
      <c r="D33" s="26" t="s">
        <v>169</v>
      </c>
      <c r="E33" s="26" t="s">
        <v>170</v>
      </c>
      <c r="F33" s="25"/>
    </row>
    <row r="34" spans="1:6" ht="15.75" x14ac:dyDescent="0.25">
      <c r="A34" s="28" t="s">
        <v>68</v>
      </c>
      <c r="B34" s="22" t="s">
        <v>59</v>
      </c>
      <c r="C34" s="22" t="s">
        <v>187</v>
      </c>
      <c r="D34" s="26" t="s">
        <v>171</v>
      </c>
      <c r="E34" s="26" t="s">
        <v>172</v>
      </c>
      <c r="F34" s="25"/>
    </row>
    <row r="35" spans="1:6" ht="15.75" x14ac:dyDescent="0.25">
      <c r="A35" s="28" t="s">
        <v>68</v>
      </c>
      <c r="B35" s="22" t="s">
        <v>60</v>
      </c>
      <c r="C35" s="22" t="s">
        <v>187</v>
      </c>
      <c r="D35" s="26" t="s">
        <v>173</v>
      </c>
      <c r="E35" s="26" t="s">
        <v>174</v>
      </c>
    </row>
    <row r="36" spans="1:6" ht="15.75" x14ac:dyDescent="0.25">
      <c r="A36" s="28" t="s">
        <v>68</v>
      </c>
      <c r="B36" s="22" t="s">
        <v>61</v>
      </c>
      <c r="C36" s="22" t="s">
        <v>187</v>
      </c>
      <c r="D36" s="26" t="s">
        <v>175</v>
      </c>
      <c r="E36" s="26" t="s">
        <v>176</v>
      </c>
    </row>
    <row r="37" spans="1:6" ht="15.75" x14ac:dyDescent="0.25">
      <c r="A37" s="28" t="s">
        <v>68</v>
      </c>
      <c r="B37" s="22" t="s">
        <v>62</v>
      </c>
      <c r="C37" s="22" t="s">
        <v>187</v>
      </c>
      <c r="D37" s="26" t="s">
        <v>177</v>
      </c>
      <c r="E37" s="26" t="s">
        <v>178</v>
      </c>
    </row>
    <row r="38" spans="1:6" ht="15.75" x14ac:dyDescent="0.25">
      <c r="A38" s="28" t="s">
        <v>68</v>
      </c>
      <c r="B38" s="22" t="s">
        <v>63</v>
      </c>
      <c r="C38" s="22" t="s">
        <v>187</v>
      </c>
      <c r="D38" s="26" t="s">
        <v>179</v>
      </c>
      <c r="E38" s="26" t="s">
        <v>180</v>
      </c>
    </row>
    <row r="39" spans="1:6" ht="15.75" x14ac:dyDescent="0.25">
      <c r="A39" s="28" t="s">
        <v>68</v>
      </c>
      <c r="B39" s="22" t="s">
        <v>64</v>
      </c>
      <c r="C39" s="22" t="s">
        <v>187</v>
      </c>
      <c r="D39" s="26" t="s">
        <v>181</v>
      </c>
      <c r="E39" s="26" t="s">
        <v>182</v>
      </c>
    </row>
    <row r="40" spans="1:6" ht="15.75" x14ac:dyDescent="0.25">
      <c r="A40" s="28" t="s">
        <v>68</v>
      </c>
      <c r="B40" s="22" t="s">
        <v>65</v>
      </c>
      <c r="C40" s="22" t="s">
        <v>187</v>
      </c>
      <c r="D40" s="26" t="s">
        <v>183</v>
      </c>
      <c r="E40" s="26" t="s">
        <v>184</v>
      </c>
    </row>
    <row r="41" spans="1:6" ht="15.75" x14ac:dyDescent="0.25">
      <c r="A41" s="28" t="s">
        <v>68</v>
      </c>
      <c r="B41" s="22" t="s">
        <v>66</v>
      </c>
      <c r="C41" s="22" t="s">
        <v>187</v>
      </c>
      <c r="D41" s="26" t="s">
        <v>185</v>
      </c>
      <c r="E41" s="26" t="s">
        <v>186</v>
      </c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85A3-8E92-4D7E-ABD9-3705FCFA5EC3}">
  <dimension ref="A1:D32"/>
  <sheetViews>
    <sheetView workbookViewId="0">
      <selection sqref="A1:C8"/>
    </sheetView>
  </sheetViews>
  <sheetFormatPr baseColWidth="10" defaultRowHeight="15" x14ac:dyDescent="0.25"/>
  <cols>
    <col min="1" max="1" width="37.140625" style="1" customWidth="1"/>
    <col min="2" max="3" width="61" customWidth="1"/>
  </cols>
  <sheetData>
    <row r="1" spans="1:3" x14ac:dyDescent="0.25">
      <c r="A1" s="20" t="s">
        <v>0</v>
      </c>
      <c r="B1" s="2" t="s">
        <v>16</v>
      </c>
      <c r="C1" s="9" t="s">
        <v>23</v>
      </c>
    </row>
    <row r="2" spans="1:3" x14ac:dyDescent="0.25">
      <c r="A2" s="20"/>
      <c r="B2" s="3" t="s">
        <v>18</v>
      </c>
      <c r="C2" s="4" t="s">
        <v>24</v>
      </c>
    </row>
    <row r="3" spans="1:3" x14ac:dyDescent="0.25">
      <c r="A3" s="20"/>
      <c r="B3" s="3" t="s">
        <v>15</v>
      </c>
      <c r="C3" s="4" t="s">
        <v>25</v>
      </c>
    </row>
    <row r="4" spans="1:3" x14ac:dyDescent="0.25">
      <c r="A4" s="20"/>
      <c r="B4" s="3" t="s">
        <v>17</v>
      </c>
      <c r="C4" s="4" t="s">
        <v>26</v>
      </c>
    </row>
    <row r="5" spans="1:3" x14ac:dyDescent="0.25">
      <c r="A5" s="20"/>
      <c r="B5" s="5" t="s">
        <v>19</v>
      </c>
      <c r="C5" s="6" t="s">
        <v>27</v>
      </c>
    </row>
    <row r="6" spans="1:3" x14ac:dyDescent="0.25">
      <c r="A6" s="19" t="s">
        <v>1</v>
      </c>
      <c r="B6" s="8" t="s">
        <v>20</v>
      </c>
      <c r="C6" s="8" t="s">
        <v>28</v>
      </c>
    </row>
    <row r="7" spans="1:3" x14ac:dyDescent="0.25">
      <c r="A7" s="19"/>
      <c r="B7" s="7" t="s">
        <v>21</v>
      </c>
      <c r="C7" s="7" t="s">
        <v>29</v>
      </c>
    </row>
    <row r="8" spans="1:3" x14ac:dyDescent="0.25">
      <c r="A8" s="19"/>
      <c r="B8" s="8" t="s">
        <v>22</v>
      </c>
      <c r="C8" s="10" t="s">
        <v>23</v>
      </c>
    </row>
    <row r="29" spans="4:4" x14ac:dyDescent="0.25">
      <c r="D29">
        <f>1120*0.81</f>
        <v>907.2</v>
      </c>
    </row>
    <row r="30" spans="4:4" x14ac:dyDescent="0.25">
      <c r="D30">
        <f>D29*8</f>
        <v>7257.6</v>
      </c>
    </row>
    <row r="31" spans="4:4" x14ac:dyDescent="0.25">
      <c r="D31">
        <f>D30/8</f>
        <v>907.2</v>
      </c>
    </row>
    <row r="32" spans="4:4" x14ac:dyDescent="0.25">
      <c r="D32">
        <f>D31/8</f>
        <v>113.4</v>
      </c>
    </row>
  </sheetData>
  <mergeCells count="2">
    <mergeCell ref="A6:A8"/>
    <mergeCell ref="A1:A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669B1-59E4-4450-83AB-144F21F132B1}">
  <dimension ref="A1:H15"/>
  <sheetViews>
    <sheetView workbookViewId="0">
      <selection activeCell="A2" sqref="A2:C8"/>
    </sheetView>
  </sheetViews>
  <sheetFormatPr baseColWidth="10" defaultRowHeight="15" x14ac:dyDescent="0.25"/>
  <cols>
    <col min="1" max="1" width="22.28515625" bestFit="1" customWidth="1"/>
    <col min="2" max="2" width="50.140625" customWidth="1"/>
    <col min="3" max="3" width="46" customWidth="1"/>
    <col min="4" max="4" width="29.85546875" hidden="1" customWidth="1"/>
    <col min="5" max="7" width="11.42578125" hidden="1" customWidth="1"/>
    <col min="8" max="8" width="30.28515625" hidden="1" customWidth="1"/>
  </cols>
  <sheetData>
    <row r="1" spans="1:8" x14ac:dyDescent="0.25">
      <c r="A1" s="11" t="s">
        <v>2</v>
      </c>
      <c r="B1" s="8" t="s">
        <v>94</v>
      </c>
      <c r="C1" s="8" t="s">
        <v>92</v>
      </c>
    </row>
    <row r="3" spans="1:8" x14ac:dyDescent="0.25">
      <c r="D3" s="12" t="s">
        <v>80</v>
      </c>
      <c r="E3" s="12" t="s">
        <v>81</v>
      </c>
      <c r="F3" s="12" t="s">
        <v>30</v>
      </c>
      <c r="G3" s="12" t="s">
        <v>31</v>
      </c>
    </row>
    <row r="4" spans="1:8" ht="30" x14ac:dyDescent="0.25">
      <c r="D4" s="13"/>
      <c r="E4" s="13" t="s">
        <v>82</v>
      </c>
      <c r="F4" s="15" t="s">
        <v>76</v>
      </c>
      <c r="G4" s="15" t="s">
        <v>77</v>
      </c>
      <c r="H4" t="str">
        <f t="shared" ref="H4:H10" si="0">F4&amp;G4</f>
        <v>37°50'12.16"N3°49'54.73"O</v>
      </c>
    </row>
    <row r="5" spans="1:8" ht="30" x14ac:dyDescent="0.25">
      <c r="E5" s="13" t="s">
        <v>84</v>
      </c>
      <c r="F5" s="15" t="s">
        <v>85</v>
      </c>
      <c r="G5" s="15" t="s">
        <v>86</v>
      </c>
      <c r="H5" t="str">
        <f t="shared" si="0"/>
        <v>37°44'07.79"N3°55'11.58"O</v>
      </c>
    </row>
    <row r="6" spans="1:8" ht="30" x14ac:dyDescent="0.25">
      <c r="E6" s="13" t="s">
        <v>84</v>
      </c>
      <c r="F6" s="15" t="s">
        <v>69</v>
      </c>
      <c r="G6" s="15" t="s">
        <v>88</v>
      </c>
      <c r="H6" t="str">
        <f t="shared" si="0"/>
        <v>37°44'38.63"N3°51'36.22"O</v>
      </c>
    </row>
    <row r="7" spans="1:8" ht="30" x14ac:dyDescent="0.25">
      <c r="E7" s="13" t="s">
        <v>82</v>
      </c>
      <c r="F7" s="15" t="s">
        <v>70</v>
      </c>
      <c r="G7" s="15" t="s">
        <v>71</v>
      </c>
      <c r="H7" t="str">
        <f t="shared" si="0"/>
        <v>37°48'25.14"N3°48'52.54"O</v>
      </c>
    </row>
    <row r="8" spans="1:8" ht="30" x14ac:dyDescent="0.25">
      <c r="E8" s="13" t="s">
        <v>82</v>
      </c>
      <c r="F8" s="15" t="s">
        <v>73</v>
      </c>
      <c r="G8" s="15" t="s">
        <v>74</v>
      </c>
      <c r="H8" t="str">
        <f t="shared" si="0"/>
        <v>37°46'48.18"N3°50'05.69"O</v>
      </c>
    </row>
    <row r="9" spans="1:8" ht="30" hidden="1" x14ac:dyDescent="0.25">
      <c r="E9" s="13" t="s">
        <v>82</v>
      </c>
      <c r="F9" s="15" t="s">
        <v>78</v>
      </c>
      <c r="G9" s="15" t="s">
        <v>79</v>
      </c>
      <c r="H9" t="str">
        <f t="shared" si="0"/>
        <v>37°44'06.76"N3°55'13.72"O</v>
      </c>
    </row>
    <row r="10" spans="1:8" ht="30" hidden="1" x14ac:dyDescent="0.25">
      <c r="E10" s="13" t="s">
        <v>84</v>
      </c>
      <c r="F10" s="15" t="s">
        <v>85</v>
      </c>
      <c r="G10" s="15" t="s">
        <v>86</v>
      </c>
      <c r="H10" t="str">
        <f t="shared" si="0"/>
        <v>37°44'07.79"N3°55'11.58"O</v>
      </c>
    </row>
    <row r="11" spans="1:8" hidden="1" x14ac:dyDescent="0.25">
      <c r="C11" s="15" t="s">
        <v>76</v>
      </c>
    </row>
    <row r="12" spans="1:8" hidden="1" x14ac:dyDescent="0.25">
      <c r="C12" s="15" t="s">
        <v>77</v>
      </c>
    </row>
    <row r="13" spans="1:8" hidden="1" x14ac:dyDescent="0.25"/>
    <row r="14" spans="1:8" hidden="1" x14ac:dyDescent="0.25"/>
    <row r="15" spans="1:8" hidden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097E-4598-4F82-AD7C-E5F182A84645}">
  <dimension ref="A1:C18"/>
  <sheetViews>
    <sheetView workbookViewId="0">
      <selection sqref="A1:C18"/>
    </sheetView>
  </sheetViews>
  <sheetFormatPr baseColWidth="10" defaultRowHeight="15" x14ac:dyDescent="0.25"/>
  <cols>
    <col min="1" max="1" width="22.28515625" bestFit="1" customWidth="1"/>
    <col min="2" max="2" width="25.85546875" customWidth="1"/>
    <col min="3" max="3" width="28.42578125" customWidth="1"/>
  </cols>
  <sheetData>
    <row r="1" spans="1:3" x14ac:dyDescent="0.25">
      <c r="A1" s="21" t="s">
        <v>68</v>
      </c>
      <c r="B1" s="14" t="s">
        <v>50</v>
      </c>
      <c r="C1" t="s">
        <v>32</v>
      </c>
    </row>
    <row r="2" spans="1:3" x14ac:dyDescent="0.25">
      <c r="A2" s="21"/>
      <c r="B2" s="14" t="s">
        <v>51</v>
      </c>
      <c r="C2" t="s">
        <v>33</v>
      </c>
    </row>
    <row r="3" spans="1:3" x14ac:dyDescent="0.25">
      <c r="A3" s="21"/>
      <c r="B3" s="14" t="s">
        <v>52</v>
      </c>
      <c r="C3" t="s">
        <v>34</v>
      </c>
    </row>
    <row r="4" spans="1:3" x14ac:dyDescent="0.25">
      <c r="A4" s="21"/>
      <c r="B4" s="14" t="s">
        <v>53</v>
      </c>
      <c r="C4" t="s">
        <v>35</v>
      </c>
    </row>
    <row r="5" spans="1:3" x14ac:dyDescent="0.25">
      <c r="A5" s="21"/>
      <c r="B5" s="14" t="s">
        <v>54</v>
      </c>
      <c r="C5" t="s">
        <v>36</v>
      </c>
    </row>
    <row r="6" spans="1:3" x14ac:dyDescent="0.25">
      <c r="A6" s="21"/>
      <c r="B6" s="14" t="s">
        <v>55</v>
      </c>
      <c r="C6" t="s">
        <v>37</v>
      </c>
    </row>
    <row r="7" spans="1:3" x14ac:dyDescent="0.25">
      <c r="A7" s="21"/>
      <c r="B7" s="14" t="s">
        <v>56</v>
      </c>
      <c r="C7" t="s">
        <v>38</v>
      </c>
    </row>
    <row r="8" spans="1:3" x14ac:dyDescent="0.25">
      <c r="A8" s="21"/>
      <c r="B8" s="14" t="s">
        <v>57</v>
      </c>
      <c r="C8" t="s">
        <v>39</v>
      </c>
    </row>
    <row r="9" spans="1:3" x14ac:dyDescent="0.25">
      <c r="A9" s="21"/>
      <c r="B9" s="14" t="s">
        <v>58</v>
      </c>
      <c r="C9" t="s">
        <v>40</v>
      </c>
    </row>
    <row r="10" spans="1:3" x14ac:dyDescent="0.25">
      <c r="A10" s="21"/>
      <c r="B10" s="14" t="s">
        <v>59</v>
      </c>
      <c r="C10" t="s">
        <v>41</v>
      </c>
    </row>
    <row r="11" spans="1:3" x14ac:dyDescent="0.25">
      <c r="A11" s="21"/>
      <c r="B11" s="14" t="s">
        <v>60</v>
      </c>
      <c r="C11" t="s">
        <v>42</v>
      </c>
    </row>
    <row r="12" spans="1:3" x14ac:dyDescent="0.25">
      <c r="A12" s="21"/>
      <c r="B12" s="14" t="s">
        <v>61</v>
      </c>
      <c r="C12" t="s">
        <v>43</v>
      </c>
    </row>
    <row r="13" spans="1:3" x14ac:dyDescent="0.25">
      <c r="A13" s="21"/>
      <c r="B13" s="14" t="s">
        <v>62</v>
      </c>
      <c r="C13" t="s">
        <v>44</v>
      </c>
    </row>
    <row r="14" spans="1:3" x14ac:dyDescent="0.25">
      <c r="A14" s="21"/>
      <c r="B14" s="14" t="s">
        <v>63</v>
      </c>
      <c r="C14" t="s">
        <v>45</v>
      </c>
    </row>
    <row r="15" spans="1:3" x14ac:dyDescent="0.25">
      <c r="A15" s="21"/>
      <c r="B15" s="14" t="s">
        <v>64</v>
      </c>
      <c r="C15" t="s">
        <v>46</v>
      </c>
    </row>
    <row r="16" spans="1:3" x14ac:dyDescent="0.25">
      <c r="A16" s="21"/>
      <c r="B16" s="14" t="s">
        <v>65</v>
      </c>
      <c r="C16" t="s">
        <v>47</v>
      </c>
    </row>
    <row r="17" spans="1:3" x14ac:dyDescent="0.25">
      <c r="A17" s="21"/>
      <c r="B17" s="14" t="s">
        <v>66</v>
      </c>
      <c r="C17" t="s">
        <v>48</v>
      </c>
    </row>
    <row r="18" spans="1:3" x14ac:dyDescent="0.25">
      <c r="A18" s="21"/>
      <c r="B18" s="14" t="s">
        <v>67</v>
      </c>
      <c r="C18" t="s">
        <v>49</v>
      </c>
    </row>
  </sheetData>
  <mergeCells count="1">
    <mergeCell ref="A1:A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1BF3D-5512-455E-AABE-E86C65439D3F}">
  <dimension ref="A1:C2"/>
  <sheetViews>
    <sheetView workbookViewId="0">
      <selection activeCell="E16" sqref="E16"/>
    </sheetView>
  </sheetViews>
  <sheetFormatPr baseColWidth="10" defaultRowHeight="15" x14ac:dyDescent="0.25"/>
  <cols>
    <col min="1" max="1" width="35" customWidth="1"/>
    <col min="2" max="2" width="19.42578125" bestFit="1" customWidth="1"/>
    <col min="3" max="3" width="18.140625" bestFit="1" customWidth="1"/>
  </cols>
  <sheetData>
    <row r="1" spans="1:3" x14ac:dyDescent="0.25">
      <c r="A1" s="16" t="s">
        <v>105</v>
      </c>
      <c r="B1" s="16" t="s">
        <v>106</v>
      </c>
      <c r="C1" s="16" t="s">
        <v>107</v>
      </c>
    </row>
    <row r="2" spans="1:3" x14ac:dyDescent="0.25">
      <c r="A2" s="17" t="s">
        <v>108</v>
      </c>
      <c r="B2" s="18" t="s">
        <v>109</v>
      </c>
      <c r="C2" s="18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CANTERAS </vt:lpstr>
      <vt:lpstr>PLANTAS DE FABRICACIÓN</vt:lpstr>
      <vt:lpstr>VERTEDEROS</vt:lpstr>
      <vt:lpstr>PRESTAMOS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Silvia Maldonado Moreno</dc:creator>
  <cp:lastModifiedBy>ANGEL JIMENEZ</cp:lastModifiedBy>
  <dcterms:created xsi:type="dcterms:W3CDTF">2024-01-10T10:27:00Z</dcterms:created>
  <dcterms:modified xsi:type="dcterms:W3CDTF">2026-01-20T02:56:09Z</dcterms:modified>
</cp:coreProperties>
</file>