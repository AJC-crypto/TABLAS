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ajcestudioses-my.sharepoint.com/personal/info_ajcestudios_es/Documents/057_Autovia Olivar/4. Documentacion presentada/HTML/CANTERAS/"/>
    </mc:Choice>
  </mc:AlternateContent>
  <xr:revisionPtr revIDLastSave="278" documentId="8_{D6908D60-4C24-4A1F-BC21-C7E31F4DE55D}" xr6:coauthVersionLast="47" xr6:coauthVersionMax="47" xr10:uidLastSave="{20EED12B-B637-44DC-85B4-BBD2FED196CE}"/>
  <bookViews>
    <workbookView xWindow="-120" yWindow="-120" windowWidth="29040" windowHeight="15720" activeTab="4" xr2:uid="{C750FF54-24AE-4B02-979E-48BE962E1C44}"/>
  </bookViews>
  <sheets>
    <sheet name="CANTERAS " sheetId="5" r:id="rId1"/>
    <sheet name="PLANTAS DE FABRICACIÓN" sheetId="1" r:id="rId2"/>
    <sheet name="VERTEDEROS" sheetId="4" r:id="rId3"/>
    <sheet name="PRESTAMOS" sheetId="6" r:id="rId4"/>
    <sheet name="Hoja2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30" i="1"/>
  <c r="D31" i="1" s="1"/>
  <c r="D32" i="1" s="1"/>
  <c r="C7" i="4"/>
  <c r="C5" i="4"/>
  <c r="C4" i="4"/>
  <c r="C2" i="4"/>
  <c r="H5" i="4"/>
  <c r="H6" i="4"/>
  <c r="H7" i="4"/>
  <c r="H8" i="4"/>
  <c r="C6" i="4" s="1"/>
  <c r="H9" i="4"/>
  <c r="H10" i="4"/>
  <c r="C8" i="4" s="1"/>
  <c r="H4" i="4"/>
  <c r="C3" i="4" l="1"/>
</calcChain>
</file>

<file path=xl/sharedStrings.xml><?xml version="1.0" encoding="utf-8"?>
<sst xmlns="http://schemas.openxmlformats.org/spreadsheetml/2006/main" count="139" uniqueCount="127">
  <si>
    <t>HORMIGONES</t>
  </si>
  <si>
    <t>MEZCLAS BITUMINOSAS EN CALIENTE</t>
  </si>
  <si>
    <t>PLANTA DE RCD</t>
  </si>
  <si>
    <t>CANTERAS</t>
  </si>
  <si>
    <t>GRAVERAS</t>
  </si>
  <si>
    <t>CC1 CANTERA "SANTO NICASIO"</t>
  </si>
  <si>
    <t xml:space="preserve"> 37°44'4.04"N</t>
  </si>
  <si>
    <t xml:space="preserve">  3°56'52.02"O</t>
  </si>
  <si>
    <t xml:space="preserve"> 37°44'51.54"N</t>
  </si>
  <si>
    <t xml:space="preserve">  3°53'36.80"O</t>
  </si>
  <si>
    <t xml:space="preserve"> 37°36'8.37"N</t>
  </si>
  <si>
    <t xml:space="preserve">  4° 5'29.63"O</t>
  </si>
  <si>
    <t xml:space="preserve"> 37°39'50.26"N</t>
  </si>
  <si>
    <t xml:space="preserve">  3°54'59.03"O</t>
  </si>
  <si>
    <t xml:space="preserve"> 37°38'55.06"N</t>
  </si>
  <si>
    <t xml:space="preserve">  3°56'10.56"O</t>
  </si>
  <si>
    <t xml:space="preserve"> 37°48'44.72"N</t>
  </si>
  <si>
    <t xml:space="preserve">  3°49'57.01"O</t>
  </si>
  <si>
    <t xml:space="preserve"> 38° 4'29.49"N</t>
  </si>
  <si>
    <t xml:space="preserve">  3°51'38.85"O</t>
  </si>
  <si>
    <t xml:space="preserve"> 37°37'53.99"N</t>
  </si>
  <si>
    <t xml:space="preserve">  3°36'29.15"O</t>
  </si>
  <si>
    <t>CC2 Áridos "DEHESA DEL ÁLAMO, S.L.</t>
  </si>
  <si>
    <t>CC3 Cantera "SAN ISIDRO"</t>
  </si>
  <si>
    <t>CC4 Cantera "CERRO RICO"</t>
  </si>
  <si>
    <t>CC5 Cantera "EL FRAILE"</t>
  </si>
  <si>
    <t>CC6 Cantera "FUENSANTA DE MARTOS"</t>
  </si>
  <si>
    <t>CG1 Cantera "LA BUENA"</t>
  </si>
  <si>
    <t>CG2 Cantera "AÑORETA"</t>
  </si>
  <si>
    <t>CANTERA OFITAS</t>
  </si>
  <si>
    <t>CCO1 - Ofitas Carchelejo</t>
  </si>
  <si>
    <t>PH-3 Hormigones "CAÑADA DE LA FUENTE"</t>
  </si>
  <si>
    <t>PH-1 HORMIGONES LAFARGE" (Planta de Martos)</t>
  </si>
  <si>
    <t>PH-4 HORMIGONES AHILLOS, S.L.</t>
  </si>
  <si>
    <t>PH-2 HORMIGONES LOS CIRIACOS</t>
  </si>
  <si>
    <t>PH-7 HORMIGONES BAENA</t>
  </si>
  <si>
    <t>PMB5 Planta Asfalto Cabra EIFFAGE</t>
  </si>
  <si>
    <t>PMB6 Planta Asfalto Iznalloz C. PÉREZ JIMÉNEZ</t>
  </si>
  <si>
    <t>PMB3 Planta Asfalto Tuccsa</t>
  </si>
  <si>
    <t xml:space="preserve"> 37°44'4.04"N /   3°56'52.02"O</t>
  </si>
  <si>
    <t xml:space="preserve"> 37°46'47.48"N /   3°53'16.79"O</t>
  </si>
  <si>
    <t xml:space="preserve"> 37°42'5.61"N /   3°57'59.43"O</t>
  </si>
  <si>
    <t xml:space="preserve"> 37°34'43.89"N /   4° 4'58.61"O</t>
  </si>
  <si>
    <t xml:space="preserve"> 37°37'29.79"N /   4°18'37.02"O</t>
  </si>
  <si>
    <t xml:space="preserve"> 37°28'54.86"N /   4°28'48.90"O</t>
  </si>
  <si>
    <t xml:space="preserve"> 37°25'26.94"N /   3°36'23.96"O</t>
  </si>
  <si>
    <t>Latitud</t>
  </si>
  <si>
    <t>Longitud</t>
  </si>
  <si>
    <t>37°39'59.83"N    3°59'41.68"O</t>
  </si>
  <si>
    <t>37°39'30.45"N    3°59'49.91"O</t>
  </si>
  <si>
    <t>37°39'05.44"N    4°00'49.77"O</t>
  </si>
  <si>
    <t>37°38'39.78"N    4°00'28.33"O</t>
  </si>
  <si>
    <t>37°38'17.49"N    3°59'57.87"O</t>
  </si>
  <si>
    <t>37°38'12.17"N    4°00'26.96"O</t>
  </si>
  <si>
    <t>37°37'14.13"N    3°59'38.68"O</t>
  </si>
  <si>
    <t>37°36'01.64"N    3°57'35.76"O</t>
  </si>
  <si>
    <t>37°35'20.63"N    3°56'52.22"O</t>
  </si>
  <si>
    <t>37°35'11.11"N    3°56'39.72"O</t>
  </si>
  <si>
    <t>37°34'57.55"N    3°56'43.64"O</t>
  </si>
  <si>
    <t>37°34'30.96"N    3°56'52.33"O</t>
  </si>
  <si>
    <t>37°34'12.16"N    3°56'49.44"O</t>
  </si>
  <si>
    <t>37°34'20.30"N    3°57'28.15"O</t>
  </si>
  <si>
    <t>37°34'02.44"N    3°57'21.87"O</t>
  </si>
  <si>
    <t>37°31'07.11"N    3°55'26.47"O</t>
  </si>
  <si>
    <t>37°31'01.33"N    3°55'15.96"O</t>
  </si>
  <si>
    <t>37°26'59.74"N    3°57'57.28"O</t>
  </si>
  <si>
    <t>1    89</t>
  </si>
  <si>
    <t>2    089 (2)</t>
  </si>
  <si>
    <t>3    74</t>
  </si>
  <si>
    <t>4    074 (2)</t>
  </si>
  <si>
    <t>5    074 (3)</t>
  </si>
  <si>
    <t>6    074 (4)</t>
  </si>
  <si>
    <t>7    074 (5)</t>
  </si>
  <si>
    <t>8    90</t>
  </si>
  <si>
    <t>9    43</t>
  </si>
  <si>
    <t>10    043 (2)</t>
  </si>
  <si>
    <t>11    043 (3)</t>
  </si>
  <si>
    <t>12    (sin nombre)</t>
  </si>
  <si>
    <t>13    (sin nombre) (2)</t>
  </si>
  <si>
    <t>14    (sin nombre) (3)</t>
  </si>
  <si>
    <t>15    (sin nombre) (4)</t>
  </si>
  <si>
    <t>16    75</t>
  </si>
  <si>
    <t>17    88</t>
  </si>
  <si>
    <t>18    089 (3)</t>
  </si>
  <si>
    <t>PRÉSTAMOS ALTERNATIVOS</t>
  </si>
  <si>
    <t>37°44'38.63"N</t>
  </si>
  <si>
    <t>37°48'25.14"N</t>
  </si>
  <si>
    <t>3°48'52.54"O</t>
  </si>
  <si>
    <t>V2</t>
  </si>
  <si>
    <t>37°46'48.18"N</t>
  </si>
  <si>
    <t>3°50'05.69"O</t>
  </si>
  <si>
    <t>RS1 - RSU PLANTA DE TRATAMIENTO JAEN SUR</t>
  </si>
  <si>
    <t>37°50'12.16"N</t>
  </si>
  <si>
    <t>3°49'54.73"O</t>
  </si>
  <si>
    <t>37°44'06.76"N</t>
  </si>
  <si>
    <t>3°55'13.72"O</t>
  </si>
  <si>
    <t>Elemento</t>
  </si>
  <si>
    <t>Tipo</t>
  </si>
  <si>
    <t>Punto</t>
  </si>
  <si>
    <t>V1 (1)</t>
  </si>
  <si>
    <t>Polígono (centroide)</t>
  </si>
  <si>
    <t>37°44'07.79"N</t>
  </si>
  <si>
    <t>3°55'11.58"O</t>
  </si>
  <si>
    <t>CC-V1</t>
  </si>
  <si>
    <t>3°51'36.22"O</t>
  </si>
  <si>
    <t>V1 (2)</t>
  </si>
  <si>
    <t>V1 (3)</t>
  </si>
  <si>
    <t>V1 (4)</t>
  </si>
  <si>
    <t>37°50'15.1"N     3°49'49.9"W</t>
  </si>
  <si>
    <t>PLANTA DE RSU</t>
  </si>
  <si>
    <t>RCD-1 RESURJA</t>
  </si>
  <si>
    <t>VERTEDEROS</t>
  </si>
  <si>
    <t>CC1</t>
  </si>
  <si>
    <t>CC2</t>
  </si>
  <si>
    <t>CC3</t>
  </si>
  <si>
    <t>CC4</t>
  </si>
  <si>
    <t>CC5</t>
  </si>
  <si>
    <t>CC6</t>
  </si>
  <si>
    <t>CG1</t>
  </si>
  <si>
    <t>CG2</t>
  </si>
  <si>
    <t>CCO1</t>
  </si>
  <si>
    <t xml:space="preserve">LOCALIZACION </t>
  </si>
  <si>
    <t>LATITUD</t>
  </si>
  <si>
    <t>LONGITUD</t>
  </si>
  <si>
    <t>CUENCA, ESPAÑA</t>
  </si>
  <si>
    <t>37.7227</t>
  </si>
  <si>
    <t>-3.9658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</si>
</sst>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8"/>
      <color theme="1"/>
      <name val="Calibri"/>
      <family val="2"/>
    </font>
    <font>
      <u/>
      <sz val="10"/>
      <color indexed="12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Calibri Light"/>
      <family val="2"/>
    </font>
    <font>
      <b/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6" applyNumberFormat="1" applyFont="1" applyBorder="1" applyAlignment="1">
      <alignment horizontal="center" vertical="center"/>
    </xf>
  </cellXfs>
  <cellStyles count="7">
    <cellStyle name="Excel Built-in Normal 2" xfId="2" xr:uid="{FC4D8E9D-02B0-42A0-827F-AF8B19713634}"/>
    <cellStyle name="Hipervínculo 2" xfId="5" xr:uid="{C15B1C6E-4E04-4FAA-94B6-EB252DA6463F}"/>
    <cellStyle name="Hyperlink" xfId="1" xr:uid="{DCBA6862-E0BA-416D-81A9-AD9930416C4A}"/>
    <cellStyle name="Millares" xfId="6" builtinId="3"/>
    <cellStyle name="Normal" xfId="0" builtinId="0"/>
    <cellStyle name="Normal 2" xfId="3" xr:uid="{BCC17086-F138-49A4-8935-2AB02A05EB38}"/>
    <cellStyle name="Normal 3" xfId="4" xr:uid="{6A55CD49-EB08-47C3-B8D0-4BD1AC4D93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43E5-6649-4792-9796-808275AA6004}">
  <dimension ref="A1:F35"/>
  <sheetViews>
    <sheetView zoomScale="115" zoomScaleNormal="115" workbookViewId="0">
      <selection activeCell="B1" sqref="A1:XFD1"/>
    </sheetView>
  </sheetViews>
  <sheetFormatPr baseColWidth="10" defaultRowHeight="15" x14ac:dyDescent="0.25"/>
  <cols>
    <col min="1" max="1" width="29.5703125" style="2" customWidth="1"/>
    <col min="2" max="2" width="35.140625" bestFit="1" customWidth="1"/>
    <col min="3" max="3" width="6.28515625" bestFit="1" customWidth="1"/>
    <col min="4" max="4" width="17.5703125" customWidth="1"/>
    <col min="5" max="5" width="14.85546875" customWidth="1"/>
  </cols>
  <sheetData>
    <row r="1" spans="1:5" x14ac:dyDescent="0.25">
      <c r="A1" s="23" t="s">
        <v>3</v>
      </c>
      <c r="B1" s="1" t="s">
        <v>5</v>
      </c>
      <c r="C1" s="1" t="s">
        <v>112</v>
      </c>
      <c r="D1" s="8" t="s">
        <v>6</v>
      </c>
      <c r="E1" s="3" t="s">
        <v>7</v>
      </c>
    </row>
    <row r="2" spans="1:5" x14ac:dyDescent="0.25">
      <c r="A2" s="23"/>
      <c r="B2" s="1" t="s">
        <v>22</v>
      </c>
      <c r="C2" s="1" t="s">
        <v>113</v>
      </c>
      <c r="D2" s="3" t="s">
        <v>6</v>
      </c>
      <c r="E2" s="3" t="s">
        <v>7</v>
      </c>
    </row>
    <row r="3" spans="1:5" x14ac:dyDescent="0.25">
      <c r="A3" s="23"/>
      <c r="B3" s="1" t="s">
        <v>23</v>
      </c>
      <c r="C3" s="1" t="s">
        <v>114</v>
      </c>
      <c r="D3" s="3" t="s">
        <v>8</v>
      </c>
      <c r="E3" s="3" t="s">
        <v>9</v>
      </c>
    </row>
    <row r="4" spans="1:5" x14ac:dyDescent="0.25">
      <c r="A4" s="23"/>
      <c r="B4" s="6" t="s">
        <v>24</v>
      </c>
      <c r="C4" s="1" t="s">
        <v>115</v>
      </c>
      <c r="D4" s="3" t="s">
        <v>10</v>
      </c>
      <c r="E4" s="3" t="s">
        <v>11</v>
      </c>
    </row>
    <row r="5" spans="1:5" x14ac:dyDescent="0.25">
      <c r="A5" s="23"/>
      <c r="B5" s="1" t="s">
        <v>25</v>
      </c>
      <c r="C5" s="1" t="s">
        <v>116</v>
      </c>
      <c r="D5" s="3" t="s">
        <v>12</v>
      </c>
      <c r="E5" s="3" t="s">
        <v>13</v>
      </c>
    </row>
    <row r="6" spans="1:5" ht="16.5" customHeight="1" x14ac:dyDescent="0.25">
      <c r="A6" s="23"/>
      <c r="B6" s="6" t="s">
        <v>26</v>
      </c>
      <c r="C6" s="6" t="s">
        <v>117</v>
      </c>
      <c r="D6" s="3" t="s">
        <v>14</v>
      </c>
      <c r="E6" s="3" t="s">
        <v>15</v>
      </c>
    </row>
    <row r="7" spans="1:5" x14ac:dyDescent="0.25">
      <c r="A7" s="23" t="s">
        <v>4</v>
      </c>
      <c r="B7" s="3" t="s">
        <v>27</v>
      </c>
      <c r="C7" s="3" t="s">
        <v>118</v>
      </c>
      <c r="D7" s="3" t="s">
        <v>16</v>
      </c>
      <c r="E7" s="3" t="s">
        <v>17</v>
      </c>
    </row>
    <row r="8" spans="1:5" x14ac:dyDescent="0.25">
      <c r="A8" s="23"/>
      <c r="B8" s="3" t="s">
        <v>28</v>
      </c>
      <c r="C8" s="3" t="s">
        <v>119</v>
      </c>
      <c r="D8" s="3" t="s">
        <v>18</v>
      </c>
      <c r="E8" s="3" t="s">
        <v>19</v>
      </c>
    </row>
    <row r="9" spans="1:5" x14ac:dyDescent="0.25">
      <c r="A9" s="7" t="s">
        <v>29</v>
      </c>
      <c r="B9" s="3" t="s">
        <v>30</v>
      </c>
      <c r="C9" s="3" t="s">
        <v>120</v>
      </c>
      <c r="D9" s="3" t="s">
        <v>20</v>
      </c>
      <c r="E9" s="3" t="s">
        <v>21</v>
      </c>
    </row>
    <row r="18" spans="4:6" hidden="1" x14ac:dyDescent="0.25"/>
    <row r="19" spans="4:6" hidden="1" x14ac:dyDescent="0.25"/>
    <row r="20" spans="4:6" hidden="1" x14ac:dyDescent="0.25">
      <c r="D20" s="5"/>
      <c r="E20" s="5"/>
    </row>
    <row r="21" spans="4:6" hidden="1" x14ac:dyDescent="0.25">
      <c r="D21" s="5"/>
      <c r="E21" s="5"/>
    </row>
    <row r="22" spans="4:6" hidden="1" x14ac:dyDescent="0.25"/>
    <row r="23" spans="4:6" hidden="1" x14ac:dyDescent="0.25"/>
    <row r="24" spans="4:6" hidden="1" x14ac:dyDescent="0.25"/>
    <row r="25" spans="4:6" hidden="1" x14ac:dyDescent="0.25"/>
    <row r="26" spans="4:6" hidden="1" x14ac:dyDescent="0.25">
      <c r="D26" s="5"/>
      <c r="E26" s="4"/>
      <c r="F26" s="5"/>
    </row>
    <row r="27" spans="4:6" hidden="1" x14ac:dyDescent="0.25">
      <c r="D27" s="5"/>
      <c r="E27" s="5"/>
      <c r="F27" s="5"/>
    </row>
    <row r="28" spans="4:6" hidden="1" x14ac:dyDescent="0.25">
      <c r="D28" s="5"/>
      <c r="E28" s="5"/>
      <c r="F28" s="5"/>
    </row>
    <row r="29" spans="4:6" hidden="1" x14ac:dyDescent="0.25">
      <c r="D29" s="5"/>
      <c r="E29" s="5"/>
      <c r="F29" s="5"/>
    </row>
    <row r="30" spans="4:6" hidden="1" x14ac:dyDescent="0.25">
      <c r="D30" s="5"/>
      <c r="E30" s="5"/>
      <c r="F30" s="5"/>
    </row>
    <row r="31" spans="4:6" hidden="1" x14ac:dyDescent="0.25">
      <c r="D31" s="5"/>
      <c r="E31" s="5"/>
      <c r="F31" s="5"/>
    </row>
    <row r="32" spans="4:6" hidden="1" x14ac:dyDescent="0.25">
      <c r="D32" s="5"/>
      <c r="E32" s="5"/>
      <c r="F32" s="5"/>
    </row>
    <row r="33" spans="4:6" hidden="1" x14ac:dyDescent="0.25">
      <c r="D33" s="5"/>
      <c r="E33" s="5"/>
      <c r="F33" s="5"/>
    </row>
    <row r="34" spans="4:6" hidden="1" x14ac:dyDescent="0.25">
      <c r="D34" s="5"/>
      <c r="E34" s="5"/>
      <c r="F34" s="5"/>
    </row>
    <row r="35" spans="4:6" hidden="1" x14ac:dyDescent="0.25"/>
  </sheetData>
  <mergeCells count="2">
    <mergeCell ref="A1:A6"/>
    <mergeCell ref="A7:A8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85A3-8E92-4D7E-ABD9-3705FCFA5EC3}">
  <dimension ref="A1:D32"/>
  <sheetViews>
    <sheetView workbookViewId="0">
      <selection activeCell="B1" sqref="A1:XFD1"/>
    </sheetView>
  </sheetViews>
  <sheetFormatPr baseColWidth="10" defaultRowHeight="15" x14ac:dyDescent="0.25"/>
  <cols>
    <col min="1" max="1" width="37.140625" style="2" customWidth="1"/>
    <col min="2" max="3" width="61" customWidth="1"/>
  </cols>
  <sheetData>
    <row r="1" spans="1:3" x14ac:dyDescent="0.25">
      <c r="A1" s="24" t="s">
        <v>0</v>
      </c>
      <c r="B1" s="9" t="s">
        <v>32</v>
      </c>
      <c r="C1" s="16" t="s">
        <v>39</v>
      </c>
    </row>
    <row r="2" spans="1:3" x14ac:dyDescent="0.25">
      <c r="A2" s="24"/>
      <c r="B2" s="10" t="s">
        <v>34</v>
      </c>
      <c r="C2" s="11" t="s">
        <v>40</v>
      </c>
    </row>
    <row r="3" spans="1:3" x14ac:dyDescent="0.25">
      <c r="A3" s="24"/>
      <c r="B3" s="10" t="s">
        <v>31</v>
      </c>
      <c r="C3" s="11" t="s">
        <v>41</v>
      </c>
    </row>
    <row r="4" spans="1:3" x14ac:dyDescent="0.25">
      <c r="A4" s="24"/>
      <c r="B4" s="10" t="s">
        <v>33</v>
      </c>
      <c r="C4" s="11" t="s">
        <v>42</v>
      </c>
    </row>
    <row r="5" spans="1:3" x14ac:dyDescent="0.25">
      <c r="A5" s="24"/>
      <c r="B5" s="12" t="s">
        <v>35</v>
      </c>
      <c r="C5" s="13" t="s">
        <v>43</v>
      </c>
    </row>
    <row r="6" spans="1:3" x14ac:dyDescent="0.25">
      <c r="A6" s="23" t="s">
        <v>1</v>
      </c>
      <c r="B6" s="15" t="s">
        <v>36</v>
      </c>
      <c r="C6" s="15" t="s">
        <v>44</v>
      </c>
    </row>
    <row r="7" spans="1:3" x14ac:dyDescent="0.25">
      <c r="A7" s="23"/>
      <c r="B7" s="14" t="s">
        <v>37</v>
      </c>
      <c r="C7" s="14" t="s">
        <v>45</v>
      </c>
    </row>
    <row r="8" spans="1:3" x14ac:dyDescent="0.25">
      <c r="A8" s="23"/>
      <c r="B8" s="15" t="s">
        <v>38</v>
      </c>
      <c r="C8" s="17" t="s">
        <v>39</v>
      </c>
    </row>
    <row r="29" spans="4:4" x14ac:dyDescent="0.25">
      <c r="D29">
        <f>1120*0.81</f>
        <v>907.2</v>
      </c>
    </row>
    <row r="30" spans="4:4" x14ac:dyDescent="0.25">
      <c r="D30">
        <f>D29*8</f>
        <v>7257.6</v>
      </c>
    </row>
    <row r="31" spans="4:4" x14ac:dyDescent="0.25">
      <c r="D31">
        <f>D30/8</f>
        <v>907.2</v>
      </c>
    </row>
    <row r="32" spans="4:4" x14ac:dyDescent="0.25">
      <c r="D32">
        <f>D31/8</f>
        <v>113.4</v>
      </c>
    </row>
  </sheetData>
  <mergeCells count="2">
    <mergeCell ref="A6:A8"/>
    <mergeCell ref="A1:A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69B1-59E4-4450-83AB-144F21F132B1}">
  <dimension ref="A1:H15"/>
  <sheetViews>
    <sheetView workbookViewId="0">
      <selection sqref="A1:XFD1"/>
    </sheetView>
  </sheetViews>
  <sheetFormatPr baseColWidth="10" defaultRowHeight="15" x14ac:dyDescent="0.25"/>
  <cols>
    <col min="1" max="1" width="22.28515625" bestFit="1" customWidth="1"/>
    <col min="2" max="2" width="50.140625" customWidth="1"/>
    <col min="3" max="3" width="46" customWidth="1"/>
    <col min="4" max="4" width="29.85546875" hidden="1" customWidth="1"/>
    <col min="5" max="7" width="11.42578125" hidden="1" customWidth="1"/>
    <col min="8" max="8" width="30.28515625" hidden="1" customWidth="1"/>
  </cols>
  <sheetData>
    <row r="1" spans="1:8" x14ac:dyDescent="0.25">
      <c r="A1" s="18" t="s">
        <v>2</v>
      </c>
      <c r="B1" s="15" t="s">
        <v>110</v>
      </c>
      <c r="C1" s="15" t="s">
        <v>108</v>
      </c>
    </row>
    <row r="2" spans="1:8" x14ac:dyDescent="0.25">
      <c r="A2" t="s">
        <v>109</v>
      </c>
      <c r="B2" s="14" t="s">
        <v>91</v>
      </c>
      <c r="C2" t="str">
        <f>C11&amp;C12</f>
        <v>37°50'12.16"N3°49'54.73"O</v>
      </c>
    </row>
    <row r="3" spans="1:8" x14ac:dyDescent="0.25">
      <c r="A3" s="25" t="s">
        <v>111</v>
      </c>
      <c r="B3" s="20" t="s">
        <v>99</v>
      </c>
      <c r="C3" t="str">
        <f t="shared" ref="C3:C8" si="0">H5</f>
        <v>37°44'07.79"N3°55'11.58"O</v>
      </c>
      <c r="D3" s="19" t="s">
        <v>96</v>
      </c>
      <c r="E3" s="19" t="s">
        <v>97</v>
      </c>
      <c r="F3" s="19" t="s">
        <v>46</v>
      </c>
      <c r="G3" s="19" t="s">
        <v>47</v>
      </c>
    </row>
    <row r="4" spans="1:8" ht="30" x14ac:dyDescent="0.25">
      <c r="A4" s="25"/>
      <c r="B4" s="20" t="s">
        <v>103</v>
      </c>
      <c r="C4" t="str">
        <f t="shared" si="0"/>
        <v>37°44'38.63"N3°51'36.22"O</v>
      </c>
      <c r="D4" s="20"/>
      <c r="E4" s="20" t="s">
        <v>98</v>
      </c>
      <c r="F4" s="22" t="s">
        <v>92</v>
      </c>
      <c r="G4" s="22" t="s">
        <v>93</v>
      </c>
      <c r="H4" t="str">
        <f t="shared" ref="H4:H10" si="1">F4&amp;G4</f>
        <v>37°50'12.16"N3°49'54.73"O</v>
      </c>
    </row>
    <row r="5" spans="1:8" ht="30" x14ac:dyDescent="0.25">
      <c r="A5" s="25"/>
      <c r="B5" s="20" t="s">
        <v>105</v>
      </c>
      <c r="C5" t="str">
        <f t="shared" si="0"/>
        <v>37°48'25.14"N3°48'52.54"O</v>
      </c>
      <c r="E5" s="20" t="s">
        <v>100</v>
      </c>
      <c r="F5" s="22" t="s">
        <v>101</v>
      </c>
      <c r="G5" s="22" t="s">
        <v>102</v>
      </c>
      <c r="H5" t="str">
        <f t="shared" si="1"/>
        <v>37°44'07.79"N3°55'11.58"O</v>
      </c>
    </row>
    <row r="6" spans="1:8" ht="30" x14ac:dyDescent="0.25">
      <c r="A6" s="25"/>
      <c r="B6" s="20" t="s">
        <v>88</v>
      </c>
      <c r="C6" t="str">
        <f t="shared" si="0"/>
        <v>37°46'48.18"N3°50'05.69"O</v>
      </c>
      <c r="E6" s="20" t="s">
        <v>100</v>
      </c>
      <c r="F6" s="22" t="s">
        <v>85</v>
      </c>
      <c r="G6" s="22" t="s">
        <v>104</v>
      </c>
      <c r="H6" t="str">
        <f t="shared" si="1"/>
        <v>37°44'38.63"N3°51'36.22"O</v>
      </c>
    </row>
    <row r="7" spans="1:8" ht="30" x14ac:dyDescent="0.25">
      <c r="A7" s="25"/>
      <c r="B7" s="20" t="s">
        <v>106</v>
      </c>
      <c r="C7" t="str">
        <f t="shared" si="0"/>
        <v>37°44'06.76"N3°55'13.72"O</v>
      </c>
      <c r="E7" s="20" t="s">
        <v>98</v>
      </c>
      <c r="F7" s="22" t="s">
        <v>86</v>
      </c>
      <c r="G7" s="22" t="s">
        <v>87</v>
      </c>
      <c r="H7" t="str">
        <f t="shared" si="1"/>
        <v>37°48'25.14"N3°48'52.54"O</v>
      </c>
    </row>
    <row r="8" spans="1:8" ht="30" x14ac:dyDescent="0.25">
      <c r="A8" s="25"/>
      <c r="B8" s="20" t="s">
        <v>107</v>
      </c>
      <c r="C8" t="str">
        <f t="shared" si="0"/>
        <v>37°44'07.79"N3°55'11.58"O</v>
      </c>
      <c r="E8" s="20" t="s">
        <v>98</v>
      </c>
      <c r="F8" s="22" t="s">
        <v>89</v>
      </c>
      <c r="G8" s="22" t="s">
        <v>90</v>
      </c>
      <c r="H8" t="str">
        <f t="shared" si="1"/>
        <v>37°46'48.18"N3°50'05.69"O</v>
      </c>
    </row>
    <row r="9" spans="1:8" ht="30" hidden="1" x14ac:dyDescent="0.25">
      <c r="E9" s="20" t="s">
        <v>98</v>
      </c>
      <c r="F9" s="22" t="s">
        <v>94</v>
      </c>
      <c r="G9" s="22" t="s">
        <v>95</v>
      </c>
      <c r="H9" t="str">
        <f t="shared" si="1"/>
        <v>37°44'06.76"N3°55'13.72"O</v>
      </c>
    </row>
    <row r="10" spans="1:8" ht="30" hidden="1" x14ac:dyDescent="0.25">
      <c r="E10" s="20" t="s">
        <v>100</v>
      </c>
      <c r="F10" s="22" t="s">
        <v>101</v>
      </c>
      <c r="G10" s="22" t="s">
        <v>102</v>
      </c>
      <c r="H10" t="str">
        <f t="shared" si="1"/>
        <v>37°44'07.79"N3°55'11.58"O</v>
      </c>
    </row>
    <row r="11" spans="1:8" hidden="1" x14ac:dyDescent="0.25">
      <c r="C11" s="22" t="s">
        <v>92</v>
      </c>
    </row>
    <row r="12" spans="1:8" hidden="1" x14ac:dyDescent="0.25">
      <c r="C12" s="22" t="s">
        <v>93</v>
      </c>
    </row>
    <row r="13" spans="1:8" hidden="1" x14ac:dyDescent="0.25"/>
    <row r="14" spans="1:8" hidden="1" x14ac:dyDescent="0.25"/>
    <row r="15" spans="1:8" hidden="1" x14ac:dyDescent="0.25"/>
  </sheetData>
  <mergeCells count="1">
    <mergeCell ref="A3:A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097E-4598-4F82-AD7C-E5F182A84645}">
  <dimension ref="A1:C18"/>
  <sheetViews>
    <sheetView workbookViewId="0">
      <selection activeCell="B1" sqref="A1:XFD18"/>
    </sheetView>
  </sheetViews>
  <sheetFormatPr baseColWidth="10" defaultRowHeight="15" x14ac:dyDescent="0.25"/>
  <cols>
    <col min="1" max="1" width="22.28515625" bestFit="1" customWidth="1"/>
    <col min="2" max="2" width="25.85546875" customWidth="1"/>
    <col min="3" max="3" width="28.42578125" customWidth="1"/>
  </cols>
  <sheetData>
    <row r="1" spans="1:3" x14ac:dyDescent="0.25">
      <c r="A1" s="26" t="s">
        <v>84</v>
      </c>
      <c r="B1" s="21" t="s">
        <v>66</v>
      </c>
      <c r="C1" t="s">
        <v>48</v>
      </c>
    </row>
    <row r="2" spans="1:3" x14ac:dyDescent="0.25">
      <c r="A2" s="26"/>
      <c r="B2" s="21" t="s">
        <v>67</v>
      </c>
      <c r="C2" t="s">
        <v>49</v>
      </c>
    </row>
    <row r="3" spans="1:3" x14ac:dyDescent="0.25">
      <c r="A3" s="26"/>
      <c r="B3" s="21" t="s">
        <v>68</v>
      </c>
      <c r="C3" t="s">
        <v>50</v>
      </c>
    </row>
    <row r="4" spans="1:3" x14ac:dyDescent="0.25">
      <c r="A4" s="26"/>
      <c r="B4" s="21" t="s">
        <v>69</v>
      </c>
      <c r="C4" t="s">
        <v>51</v>
      </c>
    </row>
    <row r="5" spans="1:3" x14ac:dyDescent="0.25">
      <c r="A5" s="26"/>
      <c r="B5" s="21" t="s">
        <v>70</v>
      </c>
      <c r="C5" t="s">
        <v>52</v>
      </c>
    </row>
    <row r="6" spans="1:3" x14ac:dyDescent="0.25">
      <c r="A6" s="26"/>
      <c r="B6" s="21" t="s">
        <v>71</v>
      </c>
      <c r="C6" t="s">
        <v>53</v>
      </c>
    </row>
    <row r="7" spans="1:3" x14ac:dyDescent="0.25">
      <c r="A7" s="26"/>
      <c r="B7" s="21" t="s">
        <v>72</v>
      </c>
      <c r="C7" t="s">
        <v>54</v>
      </c>
    </row>
    <row r="8" spans="1:3" x14ac:dyDescent="0.25">
      <c r="A8" s="26"/>
      <c r="B8" s="21" t="s">
        <v>73</v>
      </c>
      <c r="C8" t="s">
        <v>55</v>
      </c>
    </row>
    <row r="9" spans="1:3" x14ac:dyDescent="0.25">
      <c r="A9" s="26"/>
      <c r="B9" s="21" t="s">
        <v>74</v>
      </c>
      <c r="C9" t="s">
        <v>56</v>
      </c>
    </row>
    <row r="10" spans="1:3" x14ac:dyDescent="0.25">
      <c r="A10" s="26"/>
      <c r="B10" s="21" t="s">
        <v>75</v>
      </c>
      <c r="C10" t="s">
        <v>57</v>
      </c>
    </row>
    <row r="11" spans="1:3" x14ac:dyDescent="0.25">
      <c r="A11" s="26"/>
      <c r="B11" s="21" t="s">
        <v>76</v>
      </c>
      <c r="C11" t="s">
        <v>58</v>
      </c>
    </row>
    <row r="12" spans="1:3" x14ac:dyDescent="0.25">
      <c r="A12" s="26"/>
      <c r="B12" s="21" t="s">
        <v>77</v>
      </c>
      <c r="C12" t="s">
        <v>59</v>
      </c>
    </row>
    <row r="13" spans="1:3" x14ac:dyDescent="0.25">
      <c r="A13" s="26"/>
      <c r="B13" s="21" t="s">
        <v>78</v>
      </c>
      <c r="C13" t="s">
        <v>60</v>
      </c>
    </row>
    <row r="14" spans="1:3" x14ac:dyDescent="0.25">
      <c r="A14" s="26"/>
      <c r="B14" s="21" t="s">
        <v>79</v>
      </c>
      <c r="C14" t="s">
        <v>61</v>
      </c>
    </row>
    <row r="15" spans="1:3" x14ac:dyDescent="0.25">
      <c r="A15" s="26"/>
      <c r="B15" s="21" t="s">
        <v>80</v>
      </c>
      <c r="C15" t="s">
        <v>62</v>
      </c>
    </row>
    <row r="16" spans="1:3" x14ac:dyDescent="0.25">
      <c r="A16" s="26"/>
      <c r="B16" s="21" t="s">
        <v>81</v>
      </c>
      <c r="C16" t="s">
        <v>63</v>
      </c>
    </row>
    <row r="17" spans="1:3" x14ac:dyDescent="0.25">
      <c r="A17" s="26"/>
      <c r="B17" s="21" t="s">
        <v>82</v>
      </c>
      <c r="C17" t="s">
        <v>64</v>
      </c>
    </row>
    <row r="18" spans="1:3" x14ac:dyDescent="0.25">
      <c r="A18" s="26"/>
      <c r="B18" s="21" t="s">
        <v>83</v>
      </c>
      <c r="C18" t="s">
        <v>65</v>
      </c>
    </row>
  </sheetData>
  <mergeCells count="1">
    <mergeCell ref="A1:A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1BF3D-5512-455E-AABE-E86C65439D3F}">
  <dimension ref="A1:C2"/>
  <sheetViews>
    <sheetView tabSelected="1" workbookViewId="0">
      <selection activeCell="E16" sqref="E16"/>
    </sheetView>
  </sheetViews>
  <sheetFormatPr baseColWidth="10" defaultRowHeight="15" x14ac:dyDescent="0.25"/>
  <cols>
    <col min="1" max="1" width="35" customWidth="1"/>
    <col min="2" max="2" width="19.42578125" bestFit="1" customWidth="1"/>
    <col min="3" max="3" width="18.140625" bestFit="1" customWidth="1"/>
  </cols>
  <sheetData>
    <row r="1" spans="1:3" x14ac:dyDescent="0.25">
      <c r="A1" s="27" t="s">
        <v>121</v>
      </c>
      <c r="B1" s="27" t="s">
        <v>122</v>
      </c>
      <c r="C1" s="27" t="s">
        <v>123</v>
      </c>
    </row>
    <row r="2" spans="1:3" x14ac:dyDescent="0.25">
      <c r="A2" s="28" t="s">
        <v>124</v>
      </c>
      <c r="B2" s="29" t="s">
        <v>125</v>
      </c>
      <c r="C2" s="2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CANTERAS </vt:lpstr>
      <vt:lpstr>PLANTAS DE FABRICACIÓN</vt:lpstr>
      <vt:lpstr>VERTEDEROS</vt:lpstr>
      <vt:lpstr>PRESTAMOS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Maldonado Moreno</dc:creator>
  <cp:lastModifiedBy>ANGEL JIMENEZ</cp:lastModifiedBy>
  <dcterms:created xsi:type="dcterms:W3CDTF">2024-01-10T10:27:00Z</dcterms:created>
  <dcterms:modified xsi:type="dcterms:W3CDTF">2026-01-20T02:37:00Z</dcterms:modified>
</cp:coreProperties>
</file>